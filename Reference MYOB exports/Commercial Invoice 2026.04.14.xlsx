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惠丰索具客户业务\18# 澳大利亚WINDSOR\2026年3月订单2\"/>
    </mc:Choice>
  </mc:AlternateContent>
  <xr:revisionPtr revIDLastSave="0" documentId="13_ncr:1_{78BB6AA3-F6EA-4A6E-B207-2DBE856829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23" i="1" l="1"/>
  <c r="J24" i="1"/>
  <c r="J25" i="1"/>
  <c r="J27" i="1"/>
  <c r="J29" i="1"/>
  <c r="J30" i="1"/>
  <c r="J31" i="1"/>
  <c r="J32" i="1"/>
  <c r="J21" i="1"/>
  <c r="J18" i="1" l="1"/>
  <c r="J19" i="1"/>
  <c r="J34" i="1" l="1"/>
</calcChain>
</file>

<file path=xl/sharedStrings.xml><?xml version="1.0" encoding="utf-8"?>
<sst xmlns="http://schemas.openxmlformats.org/spreadsheetml/2006/main" count="80" uniqueCount="56">
  <si>
    <t xml:space="preserve">         NO.</t>
  </si>
  <si>
    <t>L/C NO.__________________________________</t>
  </si>
  <si>
    <t>DATE:</t>
  </si>
  <si>
    <t xml:space="preserve">SHIPPED PER S.S.   </t>
  </si>
  <si>
    <t>FROM:</t>
  </si>
  <si>
    <t>FOR ACCOUNT AND RISK OF MESSRS:</t>
  </si>
  <si>
    <t>USD</t>
  </si>
  <si>
    <t>MARK&amp;NO.</t>
  </si>
  <si>
    <t xml:space="preserve">    DESCRIPTION &amp; ITEM NO.</t>
  </si>
  <si>
    <t>QUANTITY</t>
  </si>
  <si>
    <t>UNIT PRICE</t>
  </si>
  <si>
    <t>AMOUNT</t>
  </si>
  <si>
    <t>TOTAL: USD</t>
  </si>
  <si>
    <t>BANK INFORMATION:</t>
  </si>
  <si>
    <t>TO:</t>
    <phoneticPr fontId="11" type="noConversion"/>
  </si>
  <si>
    <t>CONTRACT NO.</t>
    <phoneticPr fontId="11" type="noConversion"/>
  </si>
  <si>
    <t>5mm</t>
    <phoneticPr fontId="11" type="noConversion"/>
  </si>
  <si>
    <t>6mm</t>
    <phoneticPr fontId="11" type="noConversion"/>
  </si>
  <si>
    <t>FOB QINGDAO</t>
    <phoneticPr fontId="11" type="noConversion"/>
  </si>
  <si>
    <t>MELBOURNE, AUSTRALIA</t>
    <phoneticPr fontId="11" type="noConversion"/>
  </si>
  <si>
    <t>WINDSOR TRADING AUSTRALIA P/L</t>
    <phoneticPr fontId="11" type="noConversion"/>
  </si>
  <si>
    <t>Add: 10-12 Walter Street, Moorabbin Victoria, Australia, 3189</t>
    <phoneticPr fontId="11" type="noConversion"/>
  </si>
  <si>
    <t>Tel: +613 9553 1122</t>
    <phoneticPr fontId="11" type="noConversion"/>
  </si>
  <si>
    <t>m</t>
    <phoneticPr fontId="11" type="noConversion"/>
  </si>
  <si>
    <t>AISI316 WIRE ROPE 7X19, 305M/WOODEN ROLL PACKING</t>
    <phoneticPr fontId="11" type="noConversion"/>
  </si>
  <si>
    <t>QINGDAO, CHINA</t>
    <phoneticPr fontId="11" type="noConversion"/>
  </si>
  <si>
    <t>HF260317S</t>
    <phoneticPr fontId="11" type="noConversion"/>
  </si>
  <si>
    <t>kg/m</t>
    <phoneticPr fontId="11" type="noConversion"/>
  </si>
  <si>
    <t>COMMERCIAL INVOICE</t>
    <phoneticPr fontId="11" type="noConversion"/>
  </si>
  <si>
    <t>AISI316 WIRE ROPE GRIPS</t>
    <phoneticPr fontId="11" type="noConversion"/>
  </si>
  <si>
    <t>4mm</t>
    <phoneticPr fontId="11" type="noConversion"/>
  </si>
  <si>
    <t>pcs</t>
    <phoneticPr fontId="11" type="noConversion"/>
  </si>
  <si>
    <t>kg/pc</t>
    <phoneticPr fontId="11" type="noConversion"/>
  </si>
  <si>
    <t>AISI316 TURNBUCKLE WITH EYE &amp; EYE, WITH SAFETY NUTS, OIL LUBRICATED</t>
    <phoneticPr fontId="11" type="noConversion"/>
  </si>
  <si>
    <t>M8</t>
    <phoneticPr fontId="11" type="noConversion"/>
  </si>
  <si>
    <t>M10</t>
    <phoneticPr fontId="11" type="noConversion"/>
  </si>
  <si>
    <t>M12</t>
    <phoneticPr fontId="11" type="noConversion"/>
  </si>
  <si>
    <t>AISI316 TURNBUCKLE WITH EYE &amp; HOOK, WITH SAFETY NUTS, OIL LUBRICATED</t>
    <phoneticPr fontId="11" type="noConversion"/>
  </si>
  <si>
    <t>AISI316 TURNUBCKLE WITH HOOK &amp; HOOK, WITH SAFETY NUTS, OIL LUBRICATED</t>
    <phoneticPr fontId="11" type="noConversion"/>
  </si>
  <si>
    <t>M6</t>
    <phoneticPr fontId="11" type="noConversion"/>
  </si>
  <si>
    <t xml:space="preserve"> 山东惠之丰供应链管理有限公司</t>
    <phoneticPr fontId="11" type="noConversion"/>
  </si>
  <si>
    <t xml:space="preserve">                                                    SHANDONG HUIFENG SUPPLY CHAIN MANAGEMENT CO.,LTD.</t>
    <phoneticPr fontId="11" type="noConversion"/>
  </si>
  <si>
    <t>Add: Shangdian Industrial Park, Yangxin County, Binzhou City, Shandong Province, P.R.C</t>
    <phoneticPr fontId="11" type="noConversion"/>
  </si>
  <si>
    <t>Tel: +865438711158   Fax: +865438712170   Email: yangxinhuifeng@outlook.com</t>
    <phoneticPr fontId="11" type="noConversion"/>
  </si>
  <si>
    <t>BENEFICIARY NAME: SHANDONG HUIFENG SUPPLY CHAIN MANAGEMENT CO.,LTD.</t>
    <phoneticPr fontId="11" type="noConversion"/>
  </si>
  <si>
    <t xml:space="preserve">BANK NAME: </t>
    <phoneticPr fontId="11" type="noConversion"/>
  </si>
  <si>
    <t>CHINA CONSTRUCTION BANK YANGXIN BRANCH</t>
    <phoneticPr fontId="11" type="noConversion"/>
  </si>
  <si>
    <t>BANK ADD: NO.513-5, BOHAI 8TH ROAD, BINZHOU CITY, SHANDONG PROVINCE, CHINA</t>
    <phoneticPr fontId="11" type="noConversion"/>
  </si>
  <si>
    <t xml:space="preserve">A/C NO.: </t>
    <phoneticPr fontId="11" type="noConversion"/>
  </si>
  <si>
    <t>37050183810800002383</t>
    <phoneticPr fontId="11" type="noConversion"/>
  </si>
  <si>
    <t xml:space="preserve">SWIFT CODE: </t>
    <phoneticPr fontId="11" type="noConversion"/>
  </si>
  <si>
    <t>PCBCCNBJSDB</t>
    <phoneticPr fontId="11" type="noConversion"/>
  </si>
  <si>
    <t>APR. 14, 2026</t>
    <phoneticPr fontId="11" type="noConversion"/>
  </si>
  <si>
    <t>TOTAL:  N.W: 1897.55KG G.W: 2022KG  IN 3 PALLETS</t>
    <phoneticPr fontId="11" type="noConversion"/>
  </si>
  <si>
    <t xml:space="preserve">TERMS OF PAYMENT: BY T/T  </t>
    <phoneticPr fontId="11" type="noConversion"/>
  </si>
  <si>
    <t>DELIVERY DATE: APRIL, 2026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</si>
</sst>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.00_);[Red]\(0.00\)"/>
  </numFmts>
  <fonts count="17" x14ac:knownFonts="1">
    <font>
      <sz val="11"/>
      <color theme="1"/>
      <name val="等线"/>
      <charset val="134"/>
      <scheme val="minor"/>
    </font>
    <font>
      <sz val="12"/>
      <name val="Arial"/>
      <family val="2"/>
    </font>
    <font>
      <sz val="10"/>
      <name val="Arial"/>
      <family val="2"/>
    </font>
    <font>
      <b/>
      <sz val="12"/>
      <name val="宋体"/>
      <family val="3"/>
      <charset val="134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0"/>
      <name val="宋体"/>
      <family val="3"/>
      <charset val="134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11"/>
      <name val="等线"/>
      <family val="3"/>
      <charset val="134"/>
      <scheme val="minor"/>
    </font>
    <font>
      <b/>
      <sz val="12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/>
    <xf numFmtId="0" fontId="5" fillId="0" borderId="0" xfId="0" applyFont="1" applyAlignment="1">
      <alignment horizontal="left"/>
    </xf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4" fillId="0" borderId="3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7" xfId="0" applyFont="1" applyBorder="1" applyAlignment="1">
      <alignment horizontal="center"/>
    </xf>
    <xf numFmtId="0" fontId="8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9" fillId="0" borderId="14" xfId="0" applyFont="1" applyBorder="1"/>
    <xf numFmtId="0" fontId="4" fillId="0" borderId="15" xfId="0" applyFont="1" applyBorder="1"/>
    <xf numFmtId="0" fontId="4" fillId="0" borderId="16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9" fillId="0" borderId="17" xfId="0" applyFont="1" applyBorder="1"/>
    <xf numFmtId="0" fontId="7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8" xfId="0" applyFont="1" applyBorder="1" applyAlignment="1">
      <alignment horizontal="right"/>
    </xf>
    <xf numFmtId="0" fontId="4" fillId="0" borderId="20" xfId="0" applyFont="1" applyBorder="1" applyAlignment="1">
      <alignment horizontal="left"/>
    </xf>
    <xf numFmtId="0" fontId="4" fillId="0" borderId="20" xfId="0" applyFont="1" applyBorder="1" applyAlignment="1">
      <alignment horizontal="center"/>
    </xf>
    <xf numFmtId="0" fontId="10" fillId="0" borderId="0" xfId="0" applyFont="1"/>
    <xf numFmtId="176" fontId="4" fillId="0" borderId="1" xfId="0" applyNumberFormat="1" applyFont="1" applyBorder="1"/>
    <xf numFmtId="0" fontId="7" fillId="0" borderId="0" xfId="0" applyFont="1"/>
    <xf numFmtId="177" fontId="4" fillId="0" borderId="22" xfId="0" applyNumberFormat="1" applyFont="1" applyBorder="1" applyAlignment="1">
      <alignment horizontal="center"/>
    </xf>
    <xf numFmtId="177" fontId="4" fillId="0" borderId="24" xfId="0" applyNumberFormat="1" applyFont="1" applyBorder="1" applyAlignment="1">
      <alignment horizontal="center"/>
    </xf>
    <xf numFmtId="177" fontId="4" fillId="0" borderId="26" xfId="0" applyNumberFormat="1" applyFont="1" applyBorder="1" applyAlignment="1">
      <alignment horizontal="center"/>
    </xf>
    <xf numFmtId="177" fontId="4" fillId="0" borderId="28" xfId="0" applyNumberFormat="1" applyFont="1" applyBorder="1" applyAlignment="1">
      <alignment horizontal="center"/>
    </xf>
    <xf numFmtId="177" fontId="4" fillId="0" borderId="29" xfId="0" applyNumberFormat="1" applyFont="1" applyBorder="1" applyAlignment="1">
      <alignment horizontal="center"/>
    </xf>
    <xf numFmtId="177" fontId="4" fillId="0" borderId="0" xfId="0" applyNumberFormat="1" applyFont="1"/>
    <xf numFmtId="0" fontId="4" fillId="0" borderId="0" xfId="0" quotePrefix="1" applyFont="1"/>
    <xf numFmtId="0" fontId="2" fillId="0" borderId="1" xfId="0" applyFont="1" applyBorder="1"/>
    <xf numFmtId="0" fontId="12" fillId="0" borderId="0" xfId="0" applyFont="1"/>
    <xf numFmtId="0" fontId="13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16" fillId="0" borderId="0" xfId="1" applyFont="1" applyAlignment="1">
      <alignment horizontal="left"/>
    </xf>
    <xf numFmtId="176" fontId="4" fillId="0" borderId="0" xfId="0" applyNumberFormat="1" applyFont="1" applyAlignment="1">
      <alignment horizontal="right"/>
    </xf>
    <xf numFmtId="176" fontId="4" fillId="0" borderId="0" xfId="0" applyNumberFormat="1" applyFont="1" applyAlignment="1">
      <alignment horizontal="center"/>
    </xf>
    <xf numFmtId="176" fontId="4" fillId="0" borderId="21" xfId="0" applyNumberFormat="1" applyFont="1" applyBorder="1" applyAlignment="1">
      <alignment horizontal="center"/>
    </xf>
    <xf numFmtId="176" fontId="4" fillId="0" borderId="23" xfId="0" applyNumberFormat="1" applyFont="1" applyBorder="1" applyAlignment="1">
      <alignment horizontal="center"/>
    </xf>
    <xf numFmtId="176" fontId="4" fillId="0" borderId="25" xfId="0" applyNumberFormat="1" applyFont="1" applyBorder="1" applyAlignment="1">
      <alignment horizontal="center"/>
    </xf>
    <xf numFmtId="176" fontId="4" fillId="0" borderId="27" xfId="0" applyNumberFormat="1" applyFont="1" applyBorder="1" applyAlignment="1">
      <alignment horizontal="center"/>
    </xf>
    <xf numFmtId="176" fontId="4" fillId="0" borderId="0" xfId="0" applyNumberFormat="1" applyFont="1"/>
    <xf numFmtId="176" fontId="0" fillId="0" borderId="0" xfId="0" applyNumberFormat="1"/>
    <xf numFmtId="177" fontId="6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30" xfId="0" applyFont="1" applyBorder="1" applyAlignment="1">
      <alignment wrapText="1"/>
    </xf>
    <xf numFmtId="0" fontId="0" fillId="0" borderId="30" xfId="0" applyBorder="1" applyAlignment="1">
      <alignment wrapText="1"/>
    </xf>
    <xf numFmtId="0" fontId="4" fillId="0" borderId="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71121</xdr:rowOff>
    </xdr:from>
    <xdr:to>
      <xdr:col>3</xdr:col>
      <xdr:colOff>91440</xdr:colOff>
      <xdr:row>1</xdr:row>
      <xdr:rowOff>251461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6C21B90-661D-4D77-9B15-C83D80926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71121"/>
          <a:ext cx="10668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&#160;+613%209553%2011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43"/>
  <sheetViews>
    <sheetView tabSelected="1" topLeftCell="A25" workbookViewId="0">
      <selection activeCell="O38" sqref="O38"/>
    </sheetView>
  </sheetViews>
  <sheetFormatPr defaultColWidth="9" defaultRowHeight="13.8" x14ac:dyDescent="0.25"/>
  <cols>
    <col min="1" max="1" width="8.21875" customWidth="1"/>
    <col min="2" max="2" width="2.88671875" customWidth="1"/>
    <col min="3" max="3" width="3.77734375" customWidth="1"/>
    <col min="4" max="4" width="14.6640625" customWidth="1"/>
    <col min="5" max="5" width="8.44140625" style="5" customWidth="1"/>
    <col min="6" max="6" width="7.33203125" customWidth="1"/>
    <col min="7" max="7" width="9.5546875" customWidth="1"/>
    <col min="8" max="8" width="5.77734375" customWidth="1"/>
    <col min="9" max="9" width="17.44140625" style="61" customWidth="1"/>
    <col min="10" max="10" width="17.21875" customWidth="1"/>
  </cols>
  <sheetData>
    <row r="1" spans="1:233" s="1" customFormat="1" ht="25.8" customHeight="1" x14ac:dyDescent="0.4">
      <c r="A1" s="6"/>
      <c r="B1" s="7"/>
      <c r="C1" s="7"/>
      <c r="D1" s="7"/>
      <c r="E1" s="63" t="s">
        <v>40</v>
      </c>
      <c r="F1" s="63"/>
      <c r="G1" s="63"/>
      <c r="H1" s="63"/>
      <c r="I1" s="63"/>
      <c r="J1" s="7"/>
    </row>
    <row r="2" spans="1:233" s="1" customFormat="1" ht="26.55" customHeight="1" x14ac:dyDescent="0.3">
      <c r="A2" s="7"/>
      <c r="B2" s="7"/>
      <c r="C2" s="7"/>
      <c r="D2" s="7"/>
      <c r="E2" s="7" t="s">
        <v>41</v>
      </c>
      <c r="F2" s="8"/>
      <c r="G2" s="7"/>
      <c r="H2" s="7"/>
      <c r="I2" s="62"/>
      <c r="J2" s="7"/>
    </row>
    <row r="3" spans="1:233" s="2" customFormat="1" ht="16.05" customHeight="1" x14ac:dyDescent="0.25">
      <c r="A3" s="64" t="s">
        <v>42</v>
      </c>
      <c r="B3" s="65"/>
      <c r="C3" s="65"/>
      <c r="D3" s="65"/>
      <c r="E3" s="65"/>
      <c r="F3" s="65"/>
      <c r="G3" s="65"/>
      <c r="H3" s="65"/>
      <c r="I3" s="65"/>
      <c r="J3" s="65"/>
    </row>
    <row r="4" spans="1:233" s="2" customFormat="1" ht="16.05" customHeight="1" x14ac:dyDescent="0.25">
      <c r="A4" s="66" t="s">
        <v>43</v>
      </c>
      <c r="B4" s="67"/>
      <c r="C4" s="67"/>
      <c r="D4" s="67"/>
      <c r="E4" s="67"/>
      <c r="F4" s="67"/>
      <c r="G4" s="67"/>
      <c r="H4" s="67"/>
      <c r="I4" s="67"/>
      <c r="J4" s="67"/>
    </row>
    <row r="5" spans="1:233" ht="18" customHeight="1" x14ac:dyDescent="0.25">
      <c r="A5" s="64" t="s">
        <v>28</v>
      </c>
      <c r="B5" s="64"/>
      <c r="C5" s="64"/>
      <c r="D5" s="64"/>
      <c r="E5" s="64"/>
      <c r="F5" s="64"/>
      <c r="G5" s="64"/>
      <c r="H5" s="64"/>
      <c r="I5" s="64"/>
      <c r="J5" s="64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</row>
    <row r="6" spans="1:233" ht="18" customHeight="1" x14ac:dyDescent="0.25">
      <c r="A6" s="10" t="s">
        <v>15</v>
      </c>
      <c r="B6" s="10"/>
      <c r="C6" s="11"/>
      <c r="D6" s="11"/>
      <c r="E6" s="11"/>
      <c r="F6" s="4"/>
      <c r="G6" s="9"/>
      <c r="H6" s="4"/>
      <c r="I6" s="54" t="s">
        <v>0</v>
      </c>
      <c r="J6" s="39" t="s">
        <v>26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</row>
    <row r="7" spans="1:233" ht="18" customHeight="1" x14ac:dyDescent="0.25">
      <c r="A7" s="4" t="s">
        <v>1</v>
      </c>
      <c r="B7" s="4"/>
      <c r="C7" s="4"/>
      <c r="D7" s="4"/>
      <c r="E7" s="4"/>
      <c r="F7" s="4"/>
      <c r="G7" s="9"/>
      <c r="H7" s="4"/>
      <c r="I7" s="54" t="s">
        <v>2</v>
      </c>
      <c r="J7" s="39" t="s">
        <v>52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</row>
    <row r="8" spans="1:233" ht="18" customHeight="1" x14ac:dyDescent="0.25">
      <c r="A8" s="4" t="s">
        <v>3</v>
      </c>
      <c r="B8" s="4"/>
      <c r="C8" s="11"/>
      <c r="D8" s="11"/>
      <c r="E8" s="11"/>
      <c r="F8" s="11"/>
      <c r="G8" s="9"/>
      <c r="H8" s="4"/>
      <c r="I8" s="54" t="s">
        <v>4</v>
      </c>
      <c r="J8" s="39" t="s">
        <v>25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</row>
    <row r="9" spans="1:233" s="50" customFormat="1" ht="18" customHeight="1" x14ac:dyDescent="0.25">
      <c r="A9" s="10" t="s">
        <v>14</v>
      </c>
      <c r="B9" s="11" t="s">
        <v>19</v>
      </c>
      <c r="C9" s="48"/>
      <c r="D9" s="11"/>
      <c r="E9" s="11"/>
      <c r="F9" s="4"/>
      <c r="G9" s="9"/>
      <c r="H9" s="4"/>
      <c r="I9" s="55"/>
      <c r="J9" s="4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</row>
    <row r="10" spans="1:233" ht="18" customHeight="1" x14ac:dyDescent="0.25">
      <c r="A10" s="4" t="s">
        <v>5</v>
      </c>
      <c r="B10" s="4"/>
      <c r="C10" s="4"/>
      <c r="D10" s="4"/>
      <c r="E10" s="4"/>
      <c r="F10" s="4"/>
      <c r="G10" s="9"/>
      <c r="H10" s="4"/>
      <c r="I10" s="55"/>
      <c r="J10" s="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</row>
    <row r="11" spans="1:233" ht="18" customHeight="1" x14ac:dyDescent="0.25">
      <c r="A11" s="12" t="s">
        <v>20</v>
      </c>
      <c r="B11" s="4"/>
      <c r="C11" s="4"/>
      <c r="D11" s="4"/>
      <c r="E11" s="4"/>
      <c r="F11" s="4"/>
      <c r="G11" s="9"/>
      <c r="H11" s="4"/>
      <c r="I11" s="55"/>
      <c r="J11" s="4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</row>
    <row r="12" spans="1:233" s="3" customFormat="1" ht="18" customHeight="1" x14ac:dyDescent="0.25">
      <c r="A12" s="12" t="s">
        <v>21</v>
      </c>
      <c r="B12" s="4"/>
      <c r="C12" s="4"/>
      <c r="D12" s="4"/>
      <c r="E12" s="4"/>
      <c r="F12" s="4"/>
      <c r="G12" s="9"/>
      <c r="H12" s="4"/>
      <c r="I12" s="55"/>
      <c r="J12" s="4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</row>
    <row r="13" spans="1:233" s="4" customFormat="1" ht="18" customHeight="1" thickBot="1" x14ac:dyDescent="0.3">
      <c r="A13" s="53" t="s">
        <v>22</v>
      </c>
      <c r="G13" s="9"/>
      <c r="I13" s="55"/>
    </row>
    <row r="14" spans="1:233" ht="18" customHeight="1" x14ac:dyDescent="0.25">
      <c r="A14" s="13"/>
      <c r="B14" s="14"/>
      <c r="C14" s="15"/>
      <c r="D14" s="14"/>
      <c r="E14" s="16"/>
      <c r="F14" s="14"/>
      <c r="G14" s="74"/>
      <c r="H14" s="75"/>
      <c r="I14" s="56" t="s">
        <v>6</v>
      </c>
      <c r="J14" s="41" t="s">
        <v>6</v>
      </c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</row>
    <row r="15" spans="1:233" ht="18" customHeight="1" x14ac:dyDescent="0.25">
      <c r="A15" s="17" t="s">
        <v>7</v>
      </c>
      <c r="B15" s="18"/>
      <c r="C15" s="19" t="s">
        <v>8</v>
      </c>
      <c r="D15" s="20"/>
      <c r="E15" s="20"/>
      <c r="F15" s="21"/>
      <c r="G15" s="72" t="s">
        <v>9</v>
      </c>
      <c r="H15" s="73"/>
      <c r="I15" s="57" t="s">
        <v>10</v>
      </c>
      <c r="J15" s="42" t="s">
        <v>11</v>
      </c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</row>
    <row r="16" spans="1:233" ht="18" customHeight="1" x14ac:dyDescent="0.25">
      <c r="A16" s="22"/>
      <c r="B16" s="51"/>
      <c r="C16" s="23"/>
      <c r="D16" s="24"/>
      <c r="E16" s="24"/>
      <c r="F16" s="25"/>
      <c r="G16" s="26"/>
      <c r="H16" s="25"/>
      <c r="I16" s="57" t="s">
        <v>18</v>
      </c>
      <c r="J16" s="42" t="s">
        <v>18</v>
      </c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</row>
    <row r="17" spans="1:232" ht="18" customHeight="1" x14ac:dyDescent="0.25">
      <c r="A17" s="27"/>
      <c r="B17" s="52">
        <v>1</v>
      </c>
      <c r="C17" s="28" t="s">
        <v>24</v>
      </c>
      <c r="D17" s="9"/>
      <c r="E17" s="4"/>
      <c r="F17" s="29"/>
      <c r="G17" s="30"/>
      <c r="H17" s="29"/>
      <c r="I17" s="58"/>
      <c r="J17" s="43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</row>
    <row r="18" spans="1:232" ht="18" customHeight="1" x14ac:dyDescent="0.25">
      <c r="A18" s="27"/>
      <c r="B18" s="52"/>
      <c r="C18" s="28"/>
      <c r="D18" s="9" t="s">
        <v>16</v>
      </c>
      <c r="E18" s="4">
        <v>0.1</v>
      </c>
      <c r="F18" s="29" t="s">
        <v>27</v>
      </c>
      <c r="G18" s="30">
        <v>12200</v>
      </c>
      <c r="H18" s="29" t="s">
        <v>23</v>
      </c>
      <c r="I18" s="58">
        <v>0.51060000000000005</v>
      </c>
      <c r="J18" s="43">
        <f t="shared" ref="J18:J19" si="0">G18*I18</f>
        <v>6229.3200000000006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</row>
    <row r="19" spans="1:232" ht="18" customHeight="1" x14ac:dyDescent="0.25">
      <c r="A19" s="27"/>
      <c r="B19" s="52"/>
      <c r="C19" s="28"/>
      <c r="D19" s="9" t="s">
        <v>17</v>
      </c>
      <c r="E19" s="4">
        <v>0.14399999999999999</v>
      </c>
      <c r="F19" s="29" t="s">
        <v>27</v>
      </c>
      <c r="G19" s="30">
        <v>3050</v>
      </c>
      <c r="H19" s="29" t="s">
        <v>23</v>
      </c>
      <c r="I19" s="58">
        <v>0.72309999999999997</v>
      </c>
      <c r="J19" s="43">
        <f t="shared" si="0"/>
        <v>2205.4549999999999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</row>
    <row r="20" spans="1:232" ht="18" customHeight="1" x14ac:dyDescent="0.25">
      <c r="A20" s="27"/>
      <c r="B20" s="52">
        <v>2</v>
      </c>
      <c r="C20" s="28" t="s">
        <v>29</v>
      </c>
      <c r="D20" s="9"/>
      <c r="E20" s="4"/>
      <c r="F20" s="29"/>
      <c r="G20" s="30"/>
      <c r="H20" s="29"/>
      <c r="I20" s="58"/>
      <c r="J20" s="43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</row>
    <row r="21" spans="1:232" ht="18" customHeight="1" x14ac:dyDescent="0.25">
      <c r="A21" s="27"/>
      <c r="B21" s="52"/>
      <c r="C21" s="28"/>
      <c r="D21" s="9" t="s">
        <v>30</v>
      </c>
      <c r="E21" s="4">
        <v>1.6E-2</v>
      </c>
      <c r="F21" s="29" t="s">
        <v>32</v>
      </c>
      <c r="G21" s="30">
        <v>3000</v>
      </c>
      <c r="H21" s="29" t="s">
        <v>31</v>
      </c>
      <c r="I21" s="58">
        <v>0.21590000000000001</v>
      </c>
      <c r="J21" s="43">
        <f t="shared" ref="J21:J32" si="1">G21*I21</f>
        <v>647.70000000000005</v>
      </c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</row>
    <row r="22" spans="1:232" ht="18" customHeight="1" x14ac:dyDescent="0.25">
      <c r="A22" s="27"/>
      <c r="B22" s="52">
        <v>3</v>
      </c>
      <c r="C22" s="28" t="s">
        <v>33</v>
      </c>
      <c r="D22" s="9"/>
      <c r="E22" s="4"/>
      <c r="F22" s="29"/>
      <c r="G22" s="30"/>
      <c r="H22" s="29"/>
      <c r="I22" s="58"/>
      <c r="J22" s="43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</row>
    <row r="23" spans="1:232" ht="18" customHeight="1" x14ac:dyDescent="0.25">
      <c r="A23" s="27"/>
      <c r="B23" s="52"/>
      <c r="C23" s="28"/>
      <c r="D23" s="9" t="s">
        <v>34</v>
      </c>
      <c r="E23" s="4">
        <v>0.14149999999999999</v>
      </c>
      <c r="F23" s="29" t="s">
        <v>32</v>
      </c>
      <c r="G23" s="30">
        <v>100</v>
      </c>
      <c r="H23" s="29" t="s">
        <v>31</v>
      </c>
      <c r="I23" s="58">
        <v>0</v>
      </c>
      <c r="J23" s="43">
        <f t="shared" si="1"/>
        <v>0</v>
      </c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</row>
    <row r="24" spans="1:232" ht="18" customHeight="1" x14ac:dyDescent="0.25">
      <c r="A24" s="27"/>
      <c r="B24" s="52"/>
      <c r="C24" s="28"/>
      <c r="D24" s="9" t="s">
        <v>35</v>
      </c>
      <c r="E24" s="4">
        <v>0.254</v>
      </c>
      <c r="F24" s="29" t="s">
        <v>32</v>
      </c>
      <c r="G24" s="30">
        <v>100</v>
      </c>
      <c r="H24" s="29" t="s">
        <v>31</v>
      </c>
      <c r="I24" s="58">
        <v>0</v>
      </c>
      <c r="J24" s="43">
        <f t="shared" si="1"/>
        <v>0</v>
      </c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</row>
    <row r="25" spans="1:232" ht="18" customHeight="1" x14ac:dyDescent="0.25">
      <c r="A25" s="27"/>
      <c r="B25" s="52"/>
      <c r="C25" s="28"/>
      <c r="D25" s="9" t="s">
        <v>36</v>
      </c>
      <c r="E25" s="4">
        <v>0.47570000000000001</v>
      </c>
      <c r="F25" s="29" t="s">
        <v>32</v>
      </c>
      <c r="G25" s="30">
        <v>100</v>
      </c>
      <c r="H25" s="29" t="s">
        <v>31</v>
      </c>
      <c r="I25" s="58">
        <v>0</v>
      </c>
      <c r="J25" s="43">
        <f t="shared" si="1"/>
        <v>0</v>
      </c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</row>
    <row r="26" spans="1:232" ht="18" customHeight="1" x14ac:dyDescent="0.25">
      <c r="A26" s="27"/>
      <c r="B26" s="52">
        <v>4</v>
      </c>
      <c r="C26" s="28" t="s">
        <v>37</v>
      </c>
      <c r="D26" s="9"/>
      <c r="E26" s="4"/>
      <c r="F26" s="29"/>
      <c r="G26" s="30"/>
      <c r="H26" s="29"/>
      <c r="I26" s="58"/>
      <c r="J26" s="43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</row>
    <row r="27" spans="1:232" ht="18" customHeight="1" x14ac:dyDescent="0.25">
      <c r="A27" s="27"/>
      <c r="B27" s="52"/>
      <c r="C27" s="28"/>
      <c r="D27" s="9" t="s">
        <v>35</v>
      </c>
      <c r="E27" s="4">
        <v>0.25059999999999999</v>
      </c>
      <c r="F27" s="29" t="s">
        <v>32</v>
      </c>
      <c r="G27" s="30">
        <v>50</v>
      </c>
      <c r="H27" s="29" t="s">
        <v>31</v>
      </c>
      <c r="I27" s="58">
        <v>0</v>
      </c>
      <c r="J27" s="43">
        <f t="shared" si="1"/>
        <v>0</v>
      </c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</row>
    <row r="28" spans="1:232" ht="18" customHeight="1" x14ac:dyDescent="0.25">
      <c r="A28" s="27"/>
      <c r="B28" s="52">
        <v>5</v>
      </c>
      <c r="C28" s="28" t="s">
        <v>38</v>
      </c>
      <c r="D28" s="9"/>
      <c r="E28" s="4"/>
      <c r="F28" s="29"/>
      <c r="G28" s="30"/>
      <c r="H28" s="29"/>
      <c r="I28" s="58"/>
      <c r="J28" s="43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</row>
    <row r="29" spans="1:232" ht="18" customHeight="1" x14ac:dyDescent="0.25">
      <c r="A29" s="27"/>
      <c r="B29" s="52"/>
      <c r="C29" s="28"/>
      <c r="D29" s="9" t="s">
        <v>39</v>
      </c>
      <c r="E29" s="4">
        <v>6.6500000000000004E-2</v>
      </c>
      <c r="F29" s="29" t="s">
        <v>32</v>
      </c>
      <c r="G29" s="30">
        <v>100</v>
      </c>
      <c r="H29" s="29" t="s">
        <v>31</v>
      </c>
      <c r="I29" s="58">
        <v>0</v>
      </c>
      <c r="J29" s="43">
        <f t="shared" si="1"/>
        <v>0</v>
      </c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</row>
    <row r="30" spans="1:232" ht="18" customHeight="1" x14ac:dyDescent="0.25">
      <c r="A30" s="27"/>
      <c r="B30" s="52"/>
      <c r="C30" s="28"/>
      <c r="D30" s="9" t="s">
        <v>34</v>
      </c>
      <c r="E30" s="4">
        <v>0.13869999999999999</v>
      </c>
      <c r="F30" s="29" t="s">
        <v>32</v>
      </c>
      <c r="G30" s="30">
        <v>100</v>
      </c>
      <c r="H30" s="29" t="s">
        <v>31</v>
      </c>
      <c r="I30" s="58">
        <v>0</v>
      </c>
      <c r="J30" s="43">
        <f t="shared" si="1"/>
        <v>0</v>
      </c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</row>
    <row r="31" spans="1:232" ht="18" customHeight="1" x14ac:dyDescent="0.25">
      <c r="A31" s="27"/>
      <c r="B31" s="52"/>
      <c r="C31" s="28"/>
      <c r="D31" s="9" t="s">
        <v>35</v>
      </c>
      <c r="E31" s="4">
        <v>0.24579999999999999</v>
      </c>
      <c r="F31" s="29" t="s">
        <v>32</v>
      </c>
      <c r="G31" s="30">
        <v>100</v>
      </c>
      <c r="H31" s="29" t="s">
        <v>31</v>
      </c>
      <c r="I31" s="58">
        <v>0</v>
      </c>
      <c r="J31" s="43">
        <f t="shared" si="1"/>
        <v>0</v>
      </c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</row>
    <row r="32" spans="1:232" ht="18" customHeight="1" x14ac:dyDescent="0.25">
      <c r="A32" s="27"/>
      <c r="B32" s="52"/>
      <c r="C32" s="28"/>
      <c r="D32" s="9" t="s">
        <v>36</v>
      </c>
      <c r="E32" s="4">
        <v>0.45600000000000002</v>
      </c>
      <c r="F32" s="29" t="s">
        <v>32</v>
      </c>
      <c r="G32" s="30">
        <v>100</v>
      </c>
      <c r="H32" s="29" t="s">
        <v>31</v>
      </c>
      <c r="I32" s="58">
        <v>0</v>
      </c>
      <c r="J32" s="43">
        <f t="shared" si="1"/>
        <v>0</v>
      </c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  <c r="GH32" s="38"/>
      <c r="GI32" s="38"/>
      <c r="GJ32" s="38"/>
      <c r="GK32" s="38"/>
      <c r="GL32" s="38"/>
      <c r="GM32" s="38"/>
      <c r="GN32" s="38"/>
      <c r="GO32" s="38"/>
      <c r="GP32" s="38"/>
      <c r="GQ32" s="38"/>
      <c r="GR32" s="38"/>
      <c r="GS32" s="38"/>
      <c r="GT32" s="38"/>
      <c r="GU32" s="38"/>
      <c r="GV32" s="38"/>
      <c r="GW32" s="38"/>
      <c r="GX32" s="38"/>
      <c r="GY32" s="38"/>
      <c r="GZ32" s="38"/>
      <c r="HA32" s="38"/>
      <c r="HB32" s="38"/>
      <c r="HC32" s="38"/>
      <c r="HD32" s="38"/>
      <c r="HE32" s="38"/>
      <c r="HF32" s="38"/>
      <c r="HG32" s="38"/>
      <c r="HH32" s="38"/>
      <c r="HI32" s="38"/>
      <c r="HJ32" s="38"/>
      <c r="HK32" s="38"/>
      <c r="HL32" s="38"/>
      <c r="HM32" s="38"/>
      <c r="HN32" s="38"/>
      <c r="HO32" s="38"/>
      <c r="HP32" s="38"/>
      <c r="HQ32" s="38"/>
      <c r="HR32" s="38"/>
      <c r="HS32" s="38"/>
      <c r="HT32" s="38"/>
      <c r="HU32" s="38"/>
      <c r="HV32" s="38"/>
      <c r="HW32" s="38"/>
      <c r="HX32" s="38"/>
    </row>
    <row r="33" spans="1:233" ht="18" customHeight="1" thickBot="1" x14ac:dyDescent="0.3">
      <c r="A33" s="31"/>
      <c r="B33" s="32"/>
      <c r="C33" s="33"/>
      <c r="D33" s="34"/>
      <c r="E33" s="35"/>
      <c r="F33" s="36"/>
      <c r="G33" s="33"/>
      <c r="H33" s="37"/>
      <c r="I33" s="59"/>
      <c r="J33" s="44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  <c r="EY33" s="38"/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  <c r="FK33" s="38"/>
      <c r="FL33" s="38"/>
      <c r="FM33" s="38"/>
      <c r="FN33" s="38"/>
      <c r="FO33" s="38"/>
      <c r="FP33" s="38"/>
      <c r="FQ33" s="38"/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  <c r="GH33" s="38"/>
      <c r="GI33" s="38"/>
      <c r="GJ33" s="38"/>
      <c r="GK33" s="38"/>
      <c r="GL33" s="38"/>
      <c r="GM33" s="38"/>
      <c r="GN33" s="38"/>
      <c r="GO33" s="38"/>
      <c r="GP33" s="38"/>
      <c r="GQ33" s="38"/>
      <c r="GR33" s="38"/>
      <c r="GS33" s="38"/>
      <c r="GT33" s="38"/>
      <c r="GU33" s="38"/>
      <c r="GV33" s="38"/>
      <c r="GW33" s="38"/>
      <c r="GX33" s="38"/>
      <c r="GY33" s="38"/>
      <c r="GZ33" s="38"/>
      <c r="HA33" s="38"/>
      <c r="HB33" s="38"/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  <c r="HO33" s="38"/>
      <c r="HP33" s="38"/>
      <c r="HQ33" s="38"/>
      <c r="HR33" s="38"/>
      <c r="HS33" s="38"/>
      <c r="HT33" s="38"/>
      <c r="HU33" s="38"/>
      <c r="HV33" s="38"/>
      <c r="HW33" s="38"/>
      <c r="HX33" s="38"/>
      <c r="HY33" s="38"/>
    </row>
    <row r="34" spans="1:233" s="2" customFormat="1" ht="18" customHeight="1" thickBot="1" x14ac:dyDescent="0.3">
      <c r="C34" s="70" t="s">
        <v>53</v>
      </c>
      <c r="D34" s="71"/>
      <c r="E34" s="71"/>
      <c r="F34" s="71"/>
      <c r="G34" s="71"/>
      <c r="H34" s="71"/>
      <c r="I34" s="54" t="s">
        <v>12</v>
      </c>
      <c r="J34" s="45">
        <f>SUM(J16:J33)</f>
        <v>9082.4750000000022</v>
      </c>
    </row>
    <row r="35" spans="1:233" s="2" customFormat="1" ht="25.5" customHeight="1" thickTop="1" x14ac:dyDescent="0.25">
      <c r="A35" s="4" t="s">
        <v>54</v>
      </c>
      <c r="C35" s="4"/>
      <c r="D35" s="4"/>
      <c r="E35" s="4"/>
      <c r="F35" s="4"/>
      <c r="G35" s="9"/>
      <c r="H35" s="9"/>
      <c r="I35" s="60"/>
      <c r="J35" s="46"/>
    </row>
    <row r="36" spans="1:233" s="2" customFormat="1" ht="22.05" customHeight="1" x14ac:dyDescent="0.25">
      <c r="A36" s="4" t="s">
        <v>55</v>
      </c>
      <c r="C36" s="4"/>
      <c r="D36" s="4"/>
      <c r="E36" s="4"/>
      <c r="F36" s="4"/>
      <c r="G36" s="9"/>
      <c r="H36" s="9"/>
      <c r="I36" s="60"/>
      <c r="J36" s="46"/>
    </row>
    <row r="37" spans="1:233" s="2" customFormat="1" ht="22.05" customHeight="1" x14ac:dyDescent="0.25">
      <c r="A37" s="4" t="s">
        <v>13</v>
      </c>
      <c r="C37" s="4"/>
      <c r="D37" s="4"/>
      <c r="E37" s="4"/>
      <c r="F37" s="4"/>
      <c r="G37" s="9"/>
      <c r="H37" s="9"/>
      <c r="I37" s="46"/>
      <c r="J37" s="46"/>
    </row>
    <row r="38" spans="1:233" s="2" customFormat="1" ht="17.55" customHeight="1" x14ac:dyDescent="0.25">
      <c r="A38" s="4" t="s">
        <v>44</v>
      </c>
      <c r="C38" s="4"/>
      <c r="D38" s="4"/>
      <c r="E38" s="4"/>
      <c r="F38" s="4"/>
      <c r="G38" s="9"/>
      <c r="H38" s="9"/>
      <c r="I38" s="46"/>
      <c r="J38" s="46"/>
    </row>
    <row r="39" spans="1:233" s="4" customFormat="1" ht="17.55" customHeight="1" x14ac:dyDescent="0.25">
      <c r="A39" s="4" t="s">
        <v>45</v>
      </c>
      <c r="C39" s="4" t="s">
        <v>46</v>
      </c>
      <c r="G39" s="9"/>
      <c r="H39" s="9"/>
      <c r="I39" s="46"/>
      <c r="J39" s="46"/>
    </row>
    <row r="40" spans="1:233" s="4" customFormat="1" ht="21.6" customHeight="1" x14ac:dyDescent="0.25">
      <c r="A40" s="68" t="s">
        <v>47</v>
      </c>
      <c r="B40" s="69"/>
      <c r="C40" s="69"/>
      <c r="D40" s="69"/>
      <c r="E40" s="69"/>
      <c r="F40" s="69"/>
      <c r="G40" s="69"/>
      <c r="H40" s="69"/>
      <c r="I40" s="69"/>
      <c r="J40" s="69"/>
    </row>
    <row r="41" spans="1:233" s="4" customFormat="1" ht="17.55" customHeight="1" x14ac:dyDescent="0.25">
      <c r="A41" s="4" t="s">
        <v>48</v>
      </c>
      <c r="C41" s="47" t="s">
        <v>49</v>
      </c>
      <c r="G41" s="9"/>
      <c r="H41" s="9"/>
      <c r="I41" s="46"/>
      <c r="J41" s="46"/>
    </row>
    <row r="42" spans="1:233" s="4" customFormat="1" ht="17.55" customHeight="1" x14ac:dyDescent="0.25">
      <c r="A42" s="4" t="s">
        <v>50</v>
      </c>
      <c r="C42" s="4" t="s">
        <v>51</v>
      </c>
      <c r="G42" s="9"/>
      <c r="H42" s="9"/>
      <c r="I42" s="46"/>
      <c r="J42" s="46"/>
    </row>
    <row r="43" spans="1:233" ht="21" customHeight="1" x14ac:dyDescent="0.25"/>
  </sheetData>
  <mergeCells count="8">
    <mergeCell ref="E1:I1"/>
    <mergeCell ref="A3:J3"/>
    <mergeCell ref="A4:J4"/>
    <mergeCell ref="A40:J40"/>
    <mergeCell ref="C34:H34"/>
    <mergeCell ref="G15:H15"/>
    <mergeCell ref="A5:J5"/>
    <mergeCell ref="G14:H14"/>
  </mergeCells>
  <phoneticPr fontId="11" type="noConversion"/>
  <hyperlinks>
    <hyperlink ref="A13" r:id="rId1" xr:uid="{B9BEF099-4F55-4891-9778-A6484B9DB509}"/>
  </hyperlinks>
  <pageMargins left="0.31496062992125984" right="0.31496062992125984" top="0.47244094488188981" bottom="0.47244094488188981" header="0.31496062992125984" footer="0.31496062992125984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Rigging Huifeng</cp:lastModifiedBy>
  <cp:lastPrinted>2026-03-20T07:11:31Z</cp:lastPrinted>
  <dcterms:created xsi:type="dcterms:W3CDTF">2015-06-05T18:19:00Z</dcterms:created>
  <dcterms:modified xsi:type="dcterms:W3CDTF">2026-04-14T02:47:32Z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91C570103E314F3194B591F16D61C0D6</vt:lpwstr>
  </property>
  <property fmtid="{D5CDD505-2E9C-101B-9397-08002B2CF9AE}" pid="3" name="KSOProductBuildVer">
    <vt:lpwstr>2052-11.1.0.12302</vt:lpwstr>
  </property>
</Properties>
</file>